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516" codeName="{00000000-0000-0000-0000-000000000000}"/>
  <workbookPr codeName="ThisWorkbook" autoCompressPictures="0"/>
  <bookViews>
    <workbookView xWindow="0" yWindow="0" windowWidth="25600" windowHeight="15860" activeTab="1"/>
  </bookViews>
  <sheets>
    <sheet name="DATA_OLD" sheetId="1" r:id="rId1"/>
    <sheet name="DATA_NEW" sheetId="2" r:id="rId2"/>
    <sheet name="CODEGEN" sheetId="3" r:id="rId3"/>
    <sheet name="Sheet1" sheetId="4" r:id="rId4"/>
  </sheets>
  <definedNames>
    <definedName name="END_ESSAY1">CODEGEN!$J$2</definedName>
    <definedName name="END_ESSAY2">CODEGEN!$L$2</definedName>
    <definedName name="IDSTART">CODEGEN!$D$2</definedName>
    <definedName name="IDSTUDY">CODEGEN!$F$2</definedName>
    <definedName name="STUDY_ESSAY">CODEGEN!$H$2</definedName>
  </definedName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4" i="3" l="1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8" i="3"/>
</calcChain>
</file>

<file path=xl/sharedStrings.xml><?xml version="1.0" encoding="utf-8"?>
<sst xmlns="http://schemas.openxmlformats.org/spreadsheetml/2006/main" count="191" uniqueCount="126">
  <si>
    <t>ID</t>
  </si>
  <si>
    <t>Study</t>
  </si>
  <si>
    <t>Group</t>
  </si>
  <si>
    <t>Info 1-1</t>
  </si>
  <si>
    <t>Info1-2</t>
  </si>
  <si>
    <t>Info2-2</t>
  </si>
  <si>
    <t>test1.1</t>
  </si>
  <si>
    <t>test2.2</t>
  </si>
  <si>
    <t>test1.2</t>
  </si>
  <si>
    <t>test1.3</t>
  </si>
  <si>
    <t>test1.5</t>
  </si>
  <si>
    <t>test1.6</t>
  </si>
  <si>
    <t>test1.7</t>
  </si>
  <si>
    <t>test1.8</t>
  </si>
  <si>
    <t>test1.9</t>
  </si>
  <si>
    <t>test2.1</t>
  </si>
  <si>
    <t>test2.3</t>
  </si>
  <si>
    <t>test2.4</t>
  </si>
  <si>
    <t>test2.6</t>
  </si>
  <si>
    <t>test2.8</t>
  </si>
  <si>
    <t>test2.9</t>
  </si>
  <si>
    <t>test4.1</t>
  </si>
  <si>
    <t>test4.2</t>
  </si>
  <si>
    <t>test4.4</t>
  </si>
  <si>
    <t>test4.5</t>
  </si>
  <si>
    <t>test4.6</t>
  </si>
  <si>
    <t>test4.7</t>
  </si>
  <si>
    <t>test4.8</t>
  </si>
  <si>
    <t>test4.9</t>
  </si>
  <si>
    <t>Study1</t>
  </si>
  <si>
    <t>Study2</t>
  </si>
  <si>
    <t>STUDY</t>
  </si>
  <si>
    <t>ESSAY1</t>
  </si>
  <si>
    <t>ESSAY2</t>
  </si>
  <si>
    <t>sdf</t>
  </si>
  <si>
    <t>fwegf</t>
  </si>
  <si>
    <t>w</t>
  </si>
  <si>
    <t>ewgfw</t>
  </si>
  <si>
    <t>wef</t>
  </si>
  <si>
    <t>wefwef</t>
  </si>
  <si>
    <t>oisdjf</t>
  </si>
  <si>
    <t>dfiosjdfs</t>
  </si>
  <si>
    <t>sdpkfspdof</t>
  </si>
  <si>
    <t>osdfposkdf</t>
  </si>
  <si>
    <t>pwoekfwe</t>
  </si>
  <si>
    <t>IDSTART</t>
  </si>
  <si>
    <t>ID-STUDY</t>
  </si>
  <si>
    <t>STUDY-ESSAY</t>
  </si>
  <si>
    <t>&lt;ID&gt;</t>
  </si>
  <si>
    <t>&lt;/ID&gt; &lt;STUDY&gt;</t>
  </si>
  <si>
    <t>&lt;/STUDY&gt; &lt;ESSAY&gt;</t>
  </si>
  <si>
    <t>ESSAYTRUE</t>
  </si>
  <si>
    <t>Info-3-1</t>
  </si>
  <si>
    <t>Info 3-2</t>
  </si>
  <si>
    <t>test5.1</t>
  </si>
  <si>
    <t>test5.2</t>
  </si>
  <si>
    <t>test6.1</t>
  </si>
  <si>
    <t>test6.2</t>
  </si>
  <si>
    <t>test5.3</t>
  </si>
  <si>
    <t>test6.3</t>
  </si>
  <si>
    <t>test5.4</t>
  </si>
  <si>
    <t>test6.4</t>
  </si>
  <si>
    <t>test5.5</t>
  </si>
  <si>
    <t>test6.5</t>
  </si>
  <si>
    <t>test5.6</t>
  </si>
  <si>
    <t>test6.6</t>
  </si>
  <si>
    <t>test5.7</t>
  </si>
  <si>
    <t>test6.7</t>
  </si>
  <si>
    <t>test5.8</t>
  </si>
  <si>
    <t>test6.8</t>
  </si>
  <si>
    <t>test5.9</t>
  </si>
  <si>
    <t>test6.9</t>
  </si>
  <si>
    <t>Info2-1</t>
  </si>
  <si>
    <t>GROUP</t>
  </si>
  <si>
    <t>groupname1</t>
  </si>
  <si>
    <t>groupname2</t>
  </si>
  <si>
    <t>groupname3</t>
  </si>
  <si>
    <t>groupname4</t>
  </si>
  <si>
    <t>groupname5</t>
  </si>
  <si>
    <t>groupname6</t>
  </si>
  <si>
    <t>groupname7</t>
  </si>
  <si>
    <t>groupname8</t>
  </si>
  <si>
    <t>groupname9</t>
  </si>
  <si>
    <t>&lt;Info 1-1&gt;test1.1&lt;/Info 1-1&gt;</t>
  </si>
  <si>
    <t>&lt;Info1-2&gt;test2.1&lt;/Info1-2&gt;</t>
  </si>
  <si>
    <t>&lt;GROUP = "groupname1"&gt;</t>
  </si>
  <si>
    <t>&lt;Info2-1&gt;test4.1&lt;/Info2-1&gt;</t>
  </si>
  <si>
    <t>&lt;Info-3-1&gt;test5.1&lt;/Info-3-1&gt;</t>
  </si>
  <si>
    <t>&lt;Info 3-2&gt;test6.1&lt;/Info 3-2&gt;</t>
  </si>
  <si>
    <t>&lt;Info 1-1&gt;test1.2&lt;/Info 1-1&gt;</t>
  </si>
  <si>
    <t>&lt;Info1-2&gt;test2.2&lt;/Info1-2&gt;</t>
  </si>
  <si>
    <t>&lt;GROUP = "groupname2"&gt;</t>
  </si>
  <si>
    <t>&lt;Info2-1&gt;test4.2&lt;/Info2-1&gt;</t>
  </si>
  <si>
    <t>&lt;Info-3-1&gt;test5.2&lt;/Info-3-1&gt;</t>
  </si>
  <si>
    <t>&lt;Info 3-2&gt;test6.2&lt;/Info 3-2&gt;</t>
  </si>
  <si>
    <t>&lt;Info 1-1&gt;test1.3&lt;/Info 1-1&gt;</t>
  </si>
  <si>
    <t>&lt;Info1-2&gt;test2.3&lt;/Info1-2&gt;</t>
  </si>
  <si>
    <t>&lt;GROUP = "groupname3"&gt;</t>
  </si>
  <si>
    <t>&lt;Info-3-1&gt;test5.3&lt;/Info-3-1&gt;</t>
  </si>
  <si>
    <t>&lt;Info 3-2&gt;test6.3&lt;/Info 3-2&gt;</t>
  </si>
  <si>
    <t>&lt;Info 1-1&gt;test1.7&lt;/Info 1-1&gt;</t>
  </si>
  <si>
    <t>&lt;GROUP = "groupname7"&gt;</t>
  </si>
  <si>
    <t>&lt;Info2-1&gt;test4.7&lt;/Info2-1&gt;</t>
  </si>
  <si>
    <t>&lt;Info-3-1&gt;test5.7&lt;/Info-3-1&gt;</t>
  </si>
  <si>
    <t>&lt;Info 3-2&gt;test6.7&lt;/Info 3-2&gt;</t>
  </si>
  <si>
    <t>&lt;Info 1-1&gt;test1.8&lt;/Info 1-1&gt;</t>
  </si>
  <si>
    <t>&lt;Info1-2&gt;test2.8&lt;/Info1-2&gt;</t>
  </si>
  <si>
    <t>&lt;GROUP = "groupname8"&gt;</t>
  </si>
  <si>
    <t>&lt;Info2-1&gt;test4.8&lt;/Info2-1&gt;</t>
  </si>
  <si>
    <t>&lt;Info-3-1&gt;test5.8&lt;/Info-3-1&gt;</t>
  </si>
  <si>
    <t>&lt;Info 3-2&gt;test6.8&lt;/Info 3-2&gt;</t>
  </si>
  <si>
    <t>&lt;Info2-2 &gt;test4.1&lt;/Info2-2&gt;&lt;/GROUP&gt;</t>
  </si>
  <si>
    <t>&lt;Info2-2 &gt;test4.2&lt;/Info2-2&gt;&lt;/GROUP&gt;</t>
  </si>
  <si>
    <t>&lt;Info2-2 &gt;test4.7&lt;/Info2-2&gt;&lt;/GROUP&gt;</t>
  </si>
  <si>
    <t>&lt;Info2-2 &gt;test4.8&lt;/Info2-2&gt;&lt;/GROUP&gt;</t>
  </si>
  <si>
    <t xml:space="preserve">*saved from when the code worked </t>
  </si>
  <si>
    <t>Subcategory1</t>
  </si>
  <si>
    <t>Subcategory2</t>
  </si>
  <si>
    <t>&lt;Subcategory1&gt;test4.1&lt;/Subcategory1&gt;</t>
  </si>
  <si>
    <t>&lt;Subcategory1&gt;test4.2&lt;/Subcategory1&gt;</t>
  </si>
  <si>
    <t>&lt;Subcategory1&gt;test4.7&lt;/Subcategory1&gt;</t>
  </si>
  <si>
    <t>&lt;Subcategory1&gt;test4.8&lt;/Subcategory1&gt;</t>
  </si>
  <si>
    <t>&lt;Subcategory2 &gt;test4.1&lt;/Subcategory2&gt;&lt;/GROUP&gt;&lt;/&gt;</t>
  </si>
  <si>
    <t>&lt;Subcategory2 &gt;test4.2&lt;/Subcategory2&gt;&lt;/GROUP&gt;&lt;/&gt;</t>
  </si>
  <si>
    <t>&lt;Subcategory2 &gt;test4.7&lt;/Subcategory2&gt;&lt;/GROUP&gt;&lt;/&gt;</t>
  </si>
  <si>
    <t>&lt;Subcategory2 &gt;test4.8&lt;/Subcategory2&gt;&lt;/GROUP&gt;&lt;/&gt;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</si>
</sst>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0"/>
  </numFmts>
  <fonts count="1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6500"/>
      <name val="Calibri"/>
      <family val="2"/>
      <scheme val="minor"/>
    </font>
    <font>
      <sz val="12"/>
      <color rgb="FF3F3F76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Lucida Grande"/>
    </font>
    <font>
      <b/>
      <sz val="15"/>
      <color theme="3"/>
      <name val="Calibri"/>
      <family val="2"/>
      <scheme val="minor"/>
    </font>
    <font>
      <b/>
      <sz val="11"/>
      <color theme="1"/>
      <name val="Calibri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/>
        <bgColor theme="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8" tint="0.79998168889431442"/>
        <bgColor indexed="65"/>
      </patternFill>
    </fill>
  </fills>
  <borders count="11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/>
      </bottom>
      <diagonal/>
    </border>
  </borders>
  <cellStyleXfs count="183">
    <xf numFmtId="0" fontId="0" fillId="0" borderId="0"/>
    <xf numFmtId="0" fontId="3" fillId="4" borderId="0" applyNumberFormat="0" applyBorder="0" applyAlignment="0" applyProtection="0"/>
    <xf numFmtId="0" fontId="4" fillId="5" borderId="0" applyNumberFormat="0" applyBorder="0" applyAlignment="0" applyProtection="0"/>
    <xf numFmtId="0" fontId="5" fillId="6" borderId="0" applyNumberFormat="0" applyBorder="0" applyAlignment="0" applyProtection="0"/>
    <xf numFmtId="0" fontId="6" fillId="7" borderId="9" applyNumberFormat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0" fillId="0" borderId="10" applyNumberFormat="0" applyFill="0" applyAlignment="0" applyProtection="0"/>
    <xf numFmtId="0" fontId="1" fillId="8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27">
    <xf numFmtId="0" fontId="0" fillId="0" borderId="0" xfId="0"/>
    <xf numFmtId="164" fontId="0" fillId="0" borderId="0" xfId="0" applyNumberFormat="1"/>
    <xf numFmtId="164" fontId="0" fillId="2" borderId="1" xfId="0" applyNumberFormat="1" applyFont="1" applyFill="1" applyBorder="1"/>
    <xf numFmtId="164" fontId="0" fillId="0" borderId="4" xfId="0" applyNumberFormat="1" applyFont="1" applyBorder="1"/>
    <xf numFmtId="164" fontId="0" fillId="2" borderId="4" xfId="0" applyNumberFormat="1" applyFont="1" applyFill="1" applyBorder="1"/>
    <xf numFmtId="164" fontId="0" fillId="2" borderId="6" xfId="0" applyNumberFormat="1" applyFont="1" applyFill="1" applyBorder="1"/>
    <xf numFmtId="164" fontId="2" fillId="3" borderId="1" xfId="0" applyNumberFormat="1" applyFont="1" applyFill="1" applyBorder="1"/>
    <xf numFmtId="0" fontId="2" fillId="3" borderId="2" xfId="0" applyFont="1" applyFill="1" applyBorder="1"/>
    <xf numFmtId="164" fontId="4" fillId="5" borderId="0" xfId="2" applyNumberFormat="1" applyBorder="1"/>
    <xf numFmtId="0" fontId="4" fillId="5" borderId="0" xfId="2" applyBorder="1"/>
    <xf numFmtId="0" fontId="3" fillId="4" borderId="0" xfId="1" applyBorder="1"/>
    <xf numFmtId="164" fontId="3" fillId="4" borderId="0" xfId="1" applyNumberFormat="1" applyBorder="1"/>
    <xf numFmtId="0" fontId="5" fillId="6" borderId="0" xfId="3"/>
    <xf numFmtId="0" fontId="6" fillId="7" borderId="9" xfId="4"/>
    <xf numFmtId="0" fontId="10" fillId="0" borderId="10" xfId="93"/>
    <xf numFmtId="0" fontId="2" fillId="3" borderId="0" xfId="0" applyFont="1" applyFill="1" applyBorder="1"/>
    <xf numFmtId="0" fontId="3" fillId="4" borderId="2" xfId="1" applyBorder="1"/>
    <xf numFmtId="0" fontId="3" fillId="4" borderId="3" xfId="1" applyBorder="1"/>
    <xf numFmtId="0" fontId="3" fillId="4" borderId="5" xfId="1" applyBorder="1"/>
    <xf numFmtId="0" fontId="3" fillId="4" borderId="8" xfId="1" applyBorder="1"/>
    <xf numFmtId="0" fontId="5" fillId="6" borderId="2" xfId="3" applyBorder="1"/>
    <xf numFmtId="0" fontId="5" fillId="6" borderId="0" xfId="3" applyBorder="1"/>
    <xf numFmtId="0" fontId="5" fillId="6" borderId="7" xfId="3" applyBorder="1"/>
    <xf numFmtId="0" fontId="1" fillId="8" borderId="2" xfId="94" applyBorder="1"/>
    <xf numFmtId="0" fontId="1" fillId="8" borderId="0" xfId="94" applyBorder="1"/>
    <xf numFmtId="0" fontId="1" fillId="8" borderId="7" xfId="94" applyBorder="1"/>
    <xf numFmtId="0" fontId="11" fillId="0" borderId="0" xfId="0" applyFont="1"/>
  </cellXfs>
  <cellStyles count="183">
    <cellStyle name="20% - Accent5" xfId="94" builtinId="46"/>
    <cellStyle name="Bad" xfId="2" builtinId="27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Good" xfId="1" builtinId="26"/>
    <cellStyle name="Heading 1" xfId="93" builtinId="16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Input" xfId="4" builtinId="20"/>
    <cellStyle name="Neutral" xfId="3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152400</xdr:colOff>
          <xdr:row>2</xdr:row>
          <xdr:rowOff>38100</xdr:rowOff>
        </xdr:from>
        <xdr:to>
          <xdr:col>18</xdr:col>
          <xdr:colOff>215900</xdr:colOff>
          <xdr:row>10</xdr:row>
          <xdr:rowOff>0</xdr:rowOff>
        </xdr:to>
        <xdr:sp macro="" textlink="">
          <xdr:nvSpPr>
            <xdr:cNvPr id="1025" name="FINDDATA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FIND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J10"/>
  <sheetViews>
    <sheetView workbookViewId="0">
      <selection activeCell="H14" sqref="H14"/>
    </sheetView>
  </sheetViews>
  <sheetFormatPr baseColWidth="10" defaultColWidth="8.83203125" defaultRowHeight="14" x14ac:dyDescent="0"/>
  <cols>
    <col min="1" max="1" width="8.83203125" style="1"/>
    <col min="4" max="4" width="10.1640625" bestFit="1" customWidth="1"/>
    <col min="5" max="5" width="9.5" customWidth="1"/>
    <col min="6" max="8" width="24.6640625" bestFit="1" customWidth="1"/>
  </cols>
  <sheetData>
    <row r="1" spans="1:10" ht="16" thickBot="1">
      <c r="A1" s="6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16" t="s">
        <v>73</v>
      </c>
      <c r="G1" s="17" t="s">
        <v>116</v>
      </c>
      <c r="H1" s="17" t="s">
        <v>117</v>
      </c>
      <c r="I1" s="15" t="s">
        <v>52</v>
      </c>
      <c r="J1" s="15" t="s">
        <v>53</v>
      </c>
    </row>
    <row r="2" spans="1:10" ht="15">
      <c r="A2" s="2">
        <v>1</v>
      </c>
      <c r="B2" s="23" t="s">
        <v>29</v>
      </c>
      <c r="C2" s="20">
        <v>1</v>
      </c>
      <c r="D2" s="20" t="s">
        <v>6</v>
      </c>
      <c r="E2" s="20" t="s">
        <v>15</v>
      </c>
      <c r="F2" s="16" t="s">
        <v>74</v>
      </c>
      <c r="G2" s="17" t="s">
        <v>21</v>
      </c>
      <c r="H2" s="17" t="s">
        <v>21</v>
      </c>
      <c r="I2" s="21" t="s">
        <v>54</v>
      </c>
      <c r="J2" s="21" t="s">
        <v>56</v>
      </c>
    </row>
    <row r="3" spans="1:10" ht="16" thickBot="1">
      <c r="A3" s="3">
        <v>2</v>
      </c>
      <c r="B3" s="24" t="s">
        <v>29</v>
      </c>
      <c r="C3" s="21">
        <v>2</v>
      </c>
      <c r="D3" s="21" t="s">
        <v>8</v>
      </c>
      <c r="E3" s="21" t="s">
        <v>7</v>
      </c>
      <c r="F3" s="10" t="s">
        <v>75</v>
      </c>
      <c r="G3" s="18" t="s">
        <v>22</v>
      </c>
      <c r="H3" s="18" t="s">
        <v>22</v>
      </c>
      <c r="I3" s="21" t="s">
        <v>55</v>
      </c>
      <c r="J3" s="21" t="s">
        <v>57</v>
      </c>
    </row>
    <row r="4" spans="1:10" ht="15">
      <c r="A4" s="4">
        <v>3</v>
      </c>
      <c r="B4" s="24" t="s">
        <v>29</v>
      </c>
      <c r="C4" s="21">
        <v>1</v>
      </c>
      <c r="D4" s="21" t="s">
        <v>9</v>
      </c>
      <c r="E4" s="21" t="s">
        <v>16</v>
      </c>
      <c r="F4" s="16" t="s">
        <v>76</v>
      </c>
      <c r="G4" s="18"/>
      <c r="H4" s="18"/>
      <c r="I4" s="21" t="s">
        <v>58</v>
      </c>
      <c r="J4" s="21" t="s">
        <v>59</v>
      </c>
    </row>
    <row r="5" spans="1:10" ht="16" thickBot="1">
      <c r="A5" s="3">
        <v>4</v>
      </c>
      <c r="B5" s="24" t="s">
        <v>30</v>
      </c>
      <c r="C5" s="21">
        <v>3</v>
      </c>
      <c r="D5" s="21"/>
      <c r="E5" s="21" t="s">
        <v>17</v>
      </c>
      <c r="F5" s="10" t="s">
        <v>77</v>
      </c>
      <c r="G5" s="18" t="s">
        <v>23</v>
      </c>
      <c r="H5" s="18" t="s">
        <v>23</v>
      </c>
      <c r="I5" s="21" t="s">
        <v>60</v>
      </c>
      <c r="J5" s="21" t="s">
        <v>61</v>
      </c>
    </row>
    <row r="6" spans="1:10" ht="15">
      <c r="A6" s="4">
        <v>5</v>
      </c>
      <c r="B6" s="24" t="s">
        <v>30</v>
      </c>
      <c r="C6" s="21">
        <v>2</v>
      </c>
      <c r="D6" s="21" t="s">
        <v>10</v>
      </c>
      <c r="E6" s="21"/>
      <c r="F6" s="16" t="s">
        <v>78</v>
      </c>
      <c r="G6" s="18" t="s">
        <v>24</v>
      </c>
      <c r="H6" s="18" t="s">
        <v>24</v>
      </c>
      <c r="I6" s="21" t="s">
        <v>62</v>
      </c>
      <c r="J6" s="21" t="s">
        <v>63</v>
      </c>
    </row>
    <row r="7" spans="1:10" ht="16" thickBot="1">
      <c r="A7" s="3">
        <v>6</v>
      </c>
      <c r="B7" s="24" t="s">
        <v>30</v>
      </c>
      <c r="C7" s="21">
        <v>3</v>
      </c>
      <c r="D7" s="21" t="s">
        <v>11</v>
      </c>
      <c r="E7" s="21" t="s">
        <v>18</v>
      </c>
      <c r="F7" s="10" t="s">
        <v>79</v>
      </c>
      <c r="G7" s="18" t="s">
        <v>25</v>
      </c>
      <c r="H7" s="18" t="s">
        <v>25</v>
      </c>
      <c r="I7" s="21" t="s">
        <v>64</v>
      </c>
      <c r="J7" s="21" t="s">
        <v>65</v>
      </c>
    </row>
    <row r="8" spans="1:10" ht="15">
      <c r="A8" s="4">
        <v>7</v>
      </c>
      <c r="B8" s="24" t="s">
        <v>29</v>
      </c>
      <c r="C8" s="21">
        <v>1</v>
      </c>
      <c r="D8" s="21" t="s">
        <v>12</v>
      </c>
      <c r="E8" s="21"/>
      <c r="F8" s="16" t="s">
        <v>80</v>
      </c>
      <c r="G8" s="18" t="s">
        <v>26</v>
      </c>
      <c r="H8" s="18" t="s">
        <v>26</v>
      </c>
      <c r="I8" s="21" t="s">
        <v>66</v>
      </c>
      <c r="J8" s="21" t="s">
        <v>67</v>
      </c>
    </row>
    <row r="9" spans="1:10" ht="16" thickBot="1">
      <c r="A9" s="3">
        <v>8</v>
      </c>
      <c r="B9" s="24" t="s">
        <v>29</v>
      </c>
      <c r="C9" s="21">
        <v>2</v>
      </c>
      <c r="D9" s="21" t="s">
        <v>13</v>
      </c>
      <c r="E9" s="21" t="s">
        <v>19</v>
      </c>
      <c r="F9" s="10" t="s">
        <v>81</v>
      </c>
      <c r="G9" s="18" t="s">
        <v>27</v>
      </c>
      <c r="H9" s="18" t="s">
        <v>27</v>
      </c>
      <c r="I9" s="21" t="s">
        <v>68</v>
      </c>
      <c r="J9" s="21" t="s">
        <v>69</v>
      </c>
    </row>
    <row r="10" spans="1:10" ht="16" thickBot="1">
      <c r="A10" s="5">
        <v>9</v>
      </c>
      <c r="B10" s="25" t="s">
        <v>30</v>
      </c>
      <c r="C10" s="22">
        <v>3</v>
      </c>
      <c r="D10" s="22" t="s">
        <v>14</v>
      </c>
      <c r="E10" s="22" t="s">
        <v>20</v>
      </c>
      <c r="F10" s="16" t="s">
        <v>82</v>
      </c>
      <c r="G10" s="19" t="s">
        <v>28</v>
      </c>
      <c r="H10" s="19" t="s">
        <v>28</v>
      </c>
      <c r="I10" s="21" t="s">
        <v>70</v>
      </c>
      <c r="J10" s="21" t="s">
        <v>71</v>
      </c>
    </row>
  </sheetData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FINDDATA">
              <controlPr defaultSize="0" print="0" autoFill="0" autoPict="0" macro="[0]!Sheet1.FINDDATA">
                <anchor moveWithCells="1" sizeWithCells="1">
                  <from>
                    <xdr:col>15</xdr:col>
                    <xdr:colOff>152400</xdr:colOff>
                    <xdr:row>2</xdr:row>
                    <xdr:rowOff>38100</xdr:rowOff>
                  </from>
                  <to>
                    <xdr:col>18</xdr:col>
                    <xdr:colOff>215900</xdr:colOff>
                    <xdr:row>10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G6"/>
  <sheetViews>
    <sheetView tabSelected="1" workbookViewId="0">
      <selection activeCell="H7" sqref="A1:H7"/>
    </sheetView>
  </sheetViews>
  <sheetFormatPr baseColWidth="10" defaultColWidth="8.83203125" defaultRowHeight="14" x14ac:dyDescent="0"/>
  <cols>
    <col min="1" max="1" width="22.83203125" bestFit="1" customWidth="1"/>
    <col min="2" max="2" width="22" bestFit="1" customWidth="1"/>
    <col min="3" max="3" width="21.33203125" bestFit="1" customWidth="1"/>
    <col min="4" max="4" width="21.6640625" bestFit="1" customWidth="1"/>
    <col min="5" max="5" width="39.5" customWidth="1"/>
    <col min="6" max="6" width="23.1640625" bestFit="1" customWidth="1"/>
    <col min="7" max="7" width="22.83203125" bestFit="1" customWidth="1"/>
    <col min="8" max="8" width="10.83203125" bestFit="1" customWidth="1"/>
    <col min="9" max="11" width="5.6640625" bestFit="1" customWidth="1"/>
    <col min="12" max="12" width="26.33203125" bestFit="1" customWidth="1"/>
    <col min="13" max="15" width="10.83203125" bestFit="1" customWidth="1"/>
  </cols>
  <sheetData>
    <row r="1" spans="1:7" ht="20" thickBot="1">
      <c r="A1" s="14" t="s">
        <v>3</v>
      </c>
      <c r="B1" s="14" t="s">
        <v>4</v>
      </c>
      <c r="C1" s="14" t="s">
        <v>73</v>
      </c>
      <c r="D1" s="14" t="s">
        <v>116</v>
      </c>
      <c r="E1" s="14" t="s">
        <v>117</v>
      </c>
      <c r="F1" s="14" t="s">
        <v>52</v>
      </c>
      <c r="G1" s="14" t="s">
        <v>53</v>
      </c>
    </row>
    <row r="2" spans="1:7" ht="15" thickTop="1">
      <c r="A2" t="s">
        <v>83</v>
      </c>
      <c r="B2" t="s">
        <v>84</v>
      </c>
      <c r="C2" t="s">
        <v>85</v>
      </c>
      <c r="D2" t="s">
        <v>118</v>
      </c>
      <c r="E2" t="s">
        <v>122</v>
      </c>
      <c r="F2" t="s">
        <v>87</v>
      </c>
      <c r="G2" t="s">
        <v>88</v>
      </c>
    </row>
    <row r="3" spans="1:7">
      <c r="A3" t="s">
        <v>89</v>
      </c>
      <c r="B3" t="s">
        <v>90</v>
      </c>
      <c r="C3" t="s">
        <v>91</v>
      </c>
      <c r="D3" t="s">
        <v>119</v>
      </c>
      <c r="E3" t="s">
        <v>123</v>
      </c>
      <c r="F3" t="s">
        <v>93</v>
      </c>
      <c r="G3" t="s">
        <v>94</v>
      </c>
    </row>
    <row r="4" spans="1:7">
      <c r="A4" t="s">
        <v>95</v>
      </c>
      <c r="B4" t="s">
        <v>96</v>
      </c>
      <c r="C4" t="s">
        <v>97</v>
      </c>
      <c r="F4" t="s">
        <v>98</v>
      </c>
      <c r="G4" t="s">
        <v>99</v>
      </c>
    </row>
    <row r="5" spans="1:7">
      <c r="A5" t="s">
        <v>100</v>
      </c>
      <c r="C5" t="s">
        <v>101</v>
      </c>
      <c r="D5" t="s">
        <v>120</v>
      </c>
      <c r="E5" t="s">
        <v>124</v>
      </c>
      <c r="F5" t="s">
        <v>103</v>
      </c>
      <c r="G5" t="s">
        <v>104</v>
      </c>
    </row>
    <row r="6" spans="1:7">
      <c r="A6" t="s">
        <v>105</v>
      </c>
      <c r="B6" t="s">
        <v>106</v>
      </c>
      <c r="C6" t="s">
        <v>107</v>
      </c>
      <c r="D6" t="s">
        <v>121</v>
      </c>
      <c r="E6" t="s">
        <v>125</v>
      </c>
      <c r="F6" t="s">
        <v>109</v>
      </c>
      <c r="G6" t="s">
        <v>110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D1:L24"/>
  <sheetViews>
    <sheetView workbookViewId="0">
      <selection activeCell="D36" sqref="D36"/>
    </sheetView>
  </sheetViews>
  <sheetFormatPr baseColWidth="10" defaultColWidth="8.83203125" defaultRowHeight="14" x14ac:dyDescent="0"/>
  <cols>
    <col min="4" max="4" width="7.5" bestFit="1" customWidth="1"/>
    <col min="6" max="6" width="13.5" bestFit="1" customWidth="1"/>
    <col min="8" max="8" width="16.83203125" bestFit="1" customWidth="1"/>
  </cols>
  <sheetData>
    <row r="1" spans="4:12" ht="15">
      <c r="D1" s="12" t="s">
        <v>45</v>
      </c>
      <c r="F1" s="12" t="s">
        <v>46</v>
      </c>
      <c r="H1" s="12" t="s">
        <v>47</v>
      </c>
    </row>
    <row r="2" spans="4:12" ht="15">
      <c r="D2" s="13" t="s">
        <v>48</v>
      </c>
      <c r="F2" s="13" t="s">
        <v>49</v>
      </c>
      <c r="H2" s="13" t="s">
        <v>50</v>
      </c>
    </row>
    <row r="4" spans="4:12" ht="15">
      <c r="F4" s="12" t="s">
        <v>51</v>
      </c>
      <c r="H4" s="12" t="s">
        <v>47</v>
      </c>
    </row>
    <row r="5" spans="4:12" ht="15">
      <c r="F5" s="13" t="s">
        <v>49</v>
      </c>
      <c r="H5" s="13" t="s">
        <v>50</v>
      </c>
    </row>
    <row r="7" spans="4:12">
      <c r="E7" t="s">
        <v>0</v>
      </c>
      <c r="G7" t="s">
        <v>31</v>
      </c>
      <c r="I7" t="s">
        <v>32</v>
      </c>
      <c r="K7" t="s">
        <v>33</v>
      </c>
    </row>
    <row r="8" spans="4:12" ht="15">
      <c r="D8" s="9" t="str">
        <f t="shared" ref="D8:D24" si="0">IF(NOT(E8=""),IDSTART,"")</f>
        <v>&lt;ID&gt;</v>
      </c>
      <c r="E8" s="11">
        <v>1</v>
      </c>
      <c r="F8" s="8" t="str">
        <f t="shared" ref="F8:F24" si="1">IF(NOT(E8=""),IDSTUDY,"")</f>
        <v>&lt;/ID&gt; &lt;STUDY&gt;</v>
      </c>
      <c r="G8" s="10" t="s">
        <v>29</v>
      </c>
      <c r="H8" s="9" t="str">
        <f t="shared" ref="H8:H24" si="2">IF(NOT(E8=""),STUDY_ESSAY,"")</f>
        <v>&lt;/STUDY&gt; &lt;ESSAY&gt;</v>
      </c>
      <c r="I8" s="10" t="s">
        <v>34</v>
      </c>
      <c r="J8" s="9"/>
      <c r="K8" s="10" t="s">
        <v>40</v>
      </c>
      <c r="L8" s="9"/>
    </row>
    <row r="9" spans="4:12" ht="15">
      <c r="D9" s="9" t="str">
        <f t="shared" si="0"/>
        <v>&lt;ID&gt;</v>
      </c>
      <c r="E9" s="11">
        <v>2</v>
      </c>
      <c r="F9" s="8" t="str">
        <f t="shared" si="1"/>
        <v>&lt;/ID&gt; &lt;STUDY&gt;</v>
      </c>
      <c r="G9" s="10" t="s">
        <v>29</v>
      </c>
      <c r="H9" s="9" t="str">
        <f t="shared" si="2"/>
        <v>&lt;/STUDY&gt; &lt;ESSAY&gt;</v>
      </c>
      <c r="I9" s="10"/>
      <c r="J9" s="9"/>
      <c r="K9" s="10" t="s">
        <v>41</v>
      </c>
      <c r="L9" s="9"/>
    </row>
    <row r="10" spans="4:12" ht="15">
      <c r="D10" s="9" t="str">
        <f t="shared" si="0"/>
        <v>&lt;ID&gt;</v>
      </c>
      <c r="E10" s="11">
        <v>3</v>
      </c>
      <c r="F10" s="8" t="str">
        <f t="shared" si="1"/>
        <v>&lt;/ID&gt; &lt;STUDY&gt;</v>
      </c>
      <c r="G10" s="10" t="s">
        <v>29</v>
      </c>
      <c r="H10" s="9" t="str">
        <f t="shared" si="2"/>
        <v>&lt;/STUDY&gt; &lt;ESSAY&gt;</v>
      </c>
      <c r="I10" s="10" t="s">
        <v>35</v>
      </c>
      <c r="J10" s="9"/>
      <c r="K10" s="10"/>
      <c r="L10" s="9"/>
    </row>
    <row r="11" spans="4:12" ht="15">
      <c r="D11" s="9" t="str">
        <f t="shared" si="0"/>
        <v>&lt;ID&gt;</v>
      </c>
      <c r="E11" s="11">
        <v>4</v>
      </c>
      <c r="F11" s="8" t="str">
        <f t="shared" si="1"/>
        <v>&lt;/ID&gt; &lt;STUDY&gt;</v>
      </c>
      <c r="G11" s="10" t="s">
        <v>30</v>
      </c>
      <c r="H11" s="9" t="str">
        <f t="shared" si="2"/>
        <v>&lt;/STUDY&gt; &lt;ESSAY&gt;</v>
      </c>
      <c r="I11" s="10" t="s">
        <v>38</v>
      </c>
      <c r="J11" s="9"/>
      <c r="K11" s="10" t="s">
        <v>42</v>
      </c>
      <c r="L11" s="9"/>
    </row>
    <row r="12" spans="4:12" ht="15">
      <c r="D12" s="9" t="str">
        <f t="shared" si="0"/>
        <v>&lt;ID&gt;</v>
      </c>
      <c r="E12" s="11">
        <v>5</v>
      </c>
      <c r="F12" s="8" t="str">
        <f t="shared" si="1"/>
        <v>&lt;/ID&gt; &lt;STUDY&gt;</v>
      </c>
      <c r="G12" s="10" t="s">
        <v>30</v>
      </c>
      <c r="H12" s="9" t="str">
        <f t="shared" si="2"/>
        <v>&lt;/STUDY&gt; &lt;ESSAY&gt;</v>
      </c>
      <c r="I12" s="10"/>
      <c r="J12" s="9"/>
      <c r="K12" s="10" t="s">
        <v>43</v>
      </c>
      <c r="L12" s="9"/>
    </row>
    <row r="13" spans="4:12" ht="15">
      <c r="D13" s="9" t="str">
        <f t="shared" si="0"/>
        <v>&lt;ID&gt;</v>
      </c>
      <c r="E13" s="11">
        <v>6</v>
      </c>
      <c r="F13" s="8" t="str">
        <f t="shared" si="1"/>
        <v>&lt;/ID&gt; &lt;STUDY&gt;</v>
      </c>
      <c r="G13" s="10" t="s">
        <v>30</v>
      </c>
      <c r="H13" s="9" t="str">
        <f t="shared" si="2"/>
        <v>&lt;/STUDY&gt; &lt;ESSAY&gt;</v>
      </c>
      <c r="I13" s="10" t="s">
        <v>36</v>
      </c>
      <c r="J13" s="9"/>
      <c r="K13" s="10"/>
      <c r="L13" s="9"/>
    </row>
    <row r="14" spans="4:12" ht="15">
      <c r="D14" s="9" t="str">
        <f t="shared" si="0"/>
        <v>&lt;ID&gt;</v>
      </c>
      <c r="E14" s="11">
        <v>7</v>
      </c>
      <c r="F14" s="8" t="str">
        <f t="shared" si="1"/>
        <v>&lt;/ID&gt; &lt;STUDY&gt;</v>
      </c>
      <c r="G14" s="10" t="s">
        <v>29</v>
      </c>
      <c r="H14" s="9" t="str">
        <f t="shared" si="2"/>
        <v>&lt;/STUDY&gt; &lt;ESSAY&gt;</v>
      </c>
      <c r="I14" s="10" t="s">
        <v>37</v>
      </c>
      <c r="J14" s="9"/>
      <c r="K14" s="10" t="s">
        <v>39</v>
      </c>
      <c r="L14" s="9"/>
    </row>
    <row r="15" spans="4:12" ht="15">
      <c r="D15" s="9" t="str">
        <f t="shared" si="0"/>
        <v>&lt;ID&gt;</v>
      </c>
      <c r="E15" s="11">
        <v>8</v>
      </c>
      <c r="F15" s="8" t="str">
        <f t="shared" si="1"/>
        <v>&lt;/ID&gt; &lt;STUDY&gt;</v>
      </c>
      <c r="G15" s="10" t="s">
        <v>29</v>
      </c>
      <c r="H15" s="9" t="str">
        <f t="shared" si="2"/>
        <v>&lt;/STUDY&gt; &lt;ESSAY&gt;</v>
      </c>
      <c r="I15" s="10"/>
      <c r="J15" s="9"/>
      <c r="K15" s="10"/>
      <c r="L15" s="9"/>
    </row>
    <row r="16" spans="4:12" ht="15">
      <c r="D16" s="9" t="str">
        <f t="shared" si="0"/>
        <v>&lt;ID&gt;</v>
      </c>
      <c r="E16" s="11">
        <v>9</v>
      </c>
      <c r="F16" s="8" t="str">
        <f t="shared" si="1"/>
        <v>&lt;/ID&gt; &lt;STUDY&gt;</v>
      </c>
      <c r="G16" s="10" t="s">
        <v>30</v>
      </c>
      <c r="H16" s="9" t="str">
        <f t="shared" si="2"/>
        <v>&lt;/STUDY&gt; &lt;ESSAY&gt;</v>
      </c>
      <c r="I16" s="10" t="s">
        <v>39</v>
      </c>
      <c r="J16" s="9"/>
      <c r="K16" s="10" t="s">
        <v>44</v>
      </c>
      <c r="L16" s="9"/>
    </row>
    <row r="17" spans="4:8" ht="15">
      <c r="D17" s="9" t="str">
        <f t="shared" si="0"/>
        <v/>
      </c>
      <c r="F17" s="8" t="str">
        <f t="shared" si="1"/>
        <v/>
      </c>
      <c r="H17" s="9" t="str">
        <f t="shared" si="2"/>
        <v/>
      </c>
    </row>
    <row r="18" spans="4:8" ht="15">
      <c r="D18" s="9" t="str">
        <f t="shared" si="0"/>
        <v/>
      </c>
      <c r="F18" s="8" t="str">
        <f t="shared" si="1"/>
        <v/>
      </c>
      <c r="H18" s="9" t="str">
        <f t="shared" si="2"/>
        <v/>
      </c>
    </row>
    <row r="19" spans="4:8" ht="15">
      <c r="D19" s="9" t="str">
        <f t="shared" si="0"/>
        <v/>
      </c>
      <c r="F19" s="8" t="str">
        <f t="shared" si="1"/>
        <v/>
      </c>
      <c r="H19" s="9" t="str">
        <f t="shared" si="2"/>
        <v/>
      </c>
    </row>
    <row r="20" spans="4:8" ht="15">
      <c r="D20" s="9" t="str">
        <f t="shared" si="0"/>
        <v/>
      </c>
      <c r="F20" s="8" t="str">
        <f t="shared" si="1"/>
        <v/>
      </c>
      <c r="H20" s="9" t="str">
        <f t="shared" si="2"/>
        <v/>
      </c>
    </row>
    <row r="21" spans="4:8" ht="15">
      <c r="D21" s="9" t="str">
        <f t="shared" si="0"/>
        <v/>
      </c>
      <c r="F21" s="8" t="str">
        <f t="shared" si="1"/>
        <v/>
      </c>
      <c r="H21" s="9" t="str">
        <f t="shared" si="2"/>
        <v/>
      </c>
    </row>
    <row r="22" spans="4:8" ht="15">
      <c r="D22" s="9" t="str">
        <f t="shared" si="0"/>
        <v/>
      </c>
      <c r="F22" s="8" t="str">
        <f t="shared" si="1"/>
        <v/>
      </c>
      <c r="H22" s="9" t="str">
        <f t="shared" si="2"/>
        <v/>
      </c>
    </row>
    <row r="23" spans="4:8" ht="15">
      <c r="D23" s="9" t="str">
        <f t="shared" si="0"/>
        <v/>
      </c>
      <c r="F23" s="8" t="str">
        <f t="shared" si="1"/>
        <v/>
      </c>
      <c r="H23" s="9" t="str">
        <f t="shared" si="2"/>
        <v/>
      </c>
    </row>
    <row r="24" spans="4:8" ht="15">
      <c r="D24" s="9" t="str">
        <f t="shared" si="0"/>
        <v/>
      </c>
      <c r="F24" s="8" t="str">
        <f t="shared" si="1"/>
        <v/>
      </c>
      <c r="H24" s="9" t="str">
        <f t="shared" si="2"/>
        <v/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G10"/>
  <sheetViews>
    <sheetView workbookViewId="0">
      <selection activeCell="F18" sqref="F18"/>
    </sheetView>
  </sheetViews>
  <sheetFormatPr baseColWidth="10" defaultRowHeight="14" x14ac:dyDescent="0"/>
  <sheetData>
    <row r="1" spans="1:7" ht="20" thickBot="1">
      <c r="A1" s="14" t="s">
        <v>3</v>
      </c>
      <c r="B1" s="14" t="s">
        <v>4</v>
      </c>
      <c r="C1" s="14" t="s">
        <v>73</v>
      </c>
      <c r="D1" s="14" t="s">
        <v>72</v>
      </c>
      <c r="E1" s="14" t="s">
        <v>5</v>
      </c>
      <c r="F1" s="14" t="s">
        <v>52</v>
      </c>
      <c r="G1" s="14" t="s">
        <v>53</v>
      </c>
    </row>
    <row r="2" spans="1:7" ht="15" thickTop="1">
      <c r="A2" t="s">
        <v>83</v>
      </c>
      <c r="B2" t="s">
        <v>84</v>
      </c>
      <c r="C2" t="s">
        <v>85</v>
      </c>
      <c r="D2" t="s">
        <v>86</v>
      </c>
      <c r="E2" t="s">
        <v>111</v>
      </c>
      <c r="F2" t="s">
        <v>87</v>
      </c>
      <c r="G2" t="s">
        <v>88</v>
      </c>
    </row>
    <row r="3" spans="1:7">
      <c r="A3" t="s">
        <v>89</v>
      </c>
      <c r="B3" t="s">
        <v>90</v>
      </c>
      <c r="C3" t="s">
        <v>91</v>
      </c>
      <c r="D3" t="s">
        <v>92</v>
      </c>
      <c r="E3" t="s">
        <v>112</v>
      </c>
      <c r="F3" t="s">
        <v>93</v>
      </c>
      <c r="G3" t="s">
        <v>94</v>
      </c>
    </row>
    <row r="4" spans="1:7">
      <c r="A4" t="s">
        <v>95</v>
      </c>
      <c r="B4" t="s">
        <v>96</v>
      </c>
      <c r="C4" t="s">
        <v>97</v>
      </c>
      <c r="F4" t="s">
        <v>98</v>
      </c>
      <c r="G4" t="s">
        <v>99</v>
      </c>
    </row>
    <row r="5" spans="1:7">
      <c r="A5" t="s">
        <v>100</v>
      </c>
      <c r="C5" t="s">
        <v>101</v>
      </c>
      <c r="D5" t="s">
        <v>102</v>
      </c>
      <c r="E5" t="s">
        <v>113</v>
      </c>
      <c r="F5" t="s">
        <v>103</v>
      </c>
      <c r="G5" t="s">
        <v>104</v>
      </c>
    </row>
    <row r="6" spans="1:7">
      <c r="A6" t="s">
        <v>105</v>
      </c>
      <c r="B6" t="s">
        <v>106</v>
      </c>
      <c r="C6" t="s">
        <v>107</v>
      </c>
      <c r="D6" t="s">
        <v>108</v>
      </c>
      <c r="E6" t="s">
        <v>114</v>
      </c>
      <c r="F6" t="s">
        <v>109</v>
      </c>
      <c r="G6" t="s">
        <v>110</v>
      </c>
    </row>
    <row r="10" spans="1:7">
      <c r="E10" s="26" t="s">
        <v>115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DATA_OLD</vt:lpstr>
      <vt:lpstr>DATA_NEW</vt:lpstr>
      <vt:lpstr>CODEGEN</vt:lpstr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Fico Prieto</dc:creator>
  <cp:lastModifiedBy>Robert Backer</cp:lastModifiedBy>
  <dcterms:created xsi:type="dcterms:W3CDTF">2015-01-15T02:29:38Z</dcterms:created>
  <dcterms:modified xsi:type="dcterms:W3CDTF">2015-03-03T20:00:49Z</dcterms:modified>
</cp:coreProperties>
</file>